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4101087\Desktop\"/>
    </mc:Choice>
  </mc:AlternateContent>
  <xr:revisionPtr revIDLastSave="0" documentId="8_{59280AC1-EA64-461D-89DC-9C6175C072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3.12" sheetId="2" r:id="rId1"/>
  </sheets>
  <definedNames>
    <definedName name="_xlnm.Print_Area" localSheetId="0">'2023.12'!$A$1:$E$26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2"/>
  <c r="D7" i="2"/>
  <c r="D25" i="2"/>
</calcChain>
</file>

<file path=xl/sharedStrings.xml><?xml version="1.0" encoding="utf-8"?>
<sst xmlns="http://schemas.openxmlformats.org/spreadsheetml/2006/main" count="42" uniqueCount="42">
  <si>
    <t>고양</t>
    <phoneticPr fontId="1" type="noConversion"/>
  </si>
  <si>
    <t>수서, 일원, 가락한라</t>
    <phoneticPr fontId="1" type="noConversion"/>
  </si>
  <si>
    <t>수원광교</t>
    <phoneticPr fontId="1" type="noConversion"/>
  </si>
  <si>
    <t>수원</t>
    <phoneticPr fontId="1" type="noConversion"/>
  </si>
  <si>
    <t>대구</t>
    <phoneticPr fontId="1" type="noConversion"/>
  </si>
  <si>
    <t>김해</t>
    <phoneticPr fontId="1" type="noConversion"/>
  </si>
  <si>
    <t>성남판교,도촌</t>
    <phoneticPr fontId="1" type="noConversion"/>
  </si>
  <si>
    <t>분당</t>
    <phoneticPr fontId="1" type="noConversion"/>
  </si>
  <si>
    <t>행정복합중심도시</t>
    <phoneticPr fontId="1" type="noConversion"/>
  </si>
  <si>
    <t>삼송, 원흥, 지축, 은평뉴타운</t>
    <phoneticPr fontId="1" type="noConversion"/>
  </si>
  <si>
    <t>광주전남혁신도시</t>
    <phoneticPr fontId="1" type="noConversion"/>
  </si>
  <si>
    <t>파주교하, 운정, 운정2</t>
    <phoneticPr fontId="1" type="noConversion"/>
  </si>
  <si>
    <t>합   계</t>
    <phoneticPr fontId="1" type="noConversion"/>
  </si>
  <si>
    <t>구   역</t>
    <phoneticPr fontId="1" type="noConversion"/>
  </si>
  <si>
    <t>지사 및 사업소</t>
    <phoneticPr fontId="1" type="noConversion"/>
  </si>
  <si>
    <t>고양사업소</t>
    <phoneticPr fontId="1" type="noConversion"/>
  </si>
  <si>
    <t>삼송지사</t>
    <phoneticPr fontId="1" type="noConversion"/>
  </si>
  <si>
    <t>용인지사</t>
    <phoneticPr fontId="1" type="noConversion"/>
  </si>
  <si>
    <t>광교지사</t>
    <phoneticPr fontId="1" type="noConversion"/>
  </si>
  <si>
    <t>수원사업소</t>
    <phoneticPr fontId="1" type="noConversion"/>
  </si>
  <si>
    <t>대구지사</t>
    <phoneticPr fontId="1" type="noConversion"/>
  </si>
  <si>
    <t>광주전남지사</t>
    <phoneticPr fontId="1" type="noConversion"/>
  </si>
  <si>
    <t>김해사업소</t>
    <phoneticPr fontId="1" type="noConversion"/>
  </si>
  <si>
    <t>양산지사</t>
    <phoneticPr fontId="1" type="noConversion"/>
  </si>
  <si>
    <t>청주지사</t>
    <phoneticPr fontId="1" type="noConversion"/>
  </si>
  <si>
    <t>파주지사</t>
    <phoneticPr fontId="1" type="noConversion"/>
  </si>
  <si>
    <t>판교지사</t>
    <phoneticPr fontId="1" type="noConversion"/>
  </si>
  <si>
    <t>분당사업소</t>
    <phoneticPr fontId="1" type="noConversion"/>
  </si>
  <si>
    <t>세종지사</t>
    <phoneticPr fontId="1" type="noConversion"/>
  </si>
  <si>
    <t>허가세대수</t>
    <phoneticPr fontId="1" type="noConversion"/>
  </si>
  <si>
    <t>강남지사</t>
    <phoneticPr fontId="1" type="noConversion"/>
  </si>
  <si>
    <t>양산물금, 사송</t>
    <phoneticPr fontId="1" type="noConversion"/>
  </si>
  <si>
    <t>청주(동남지구 포함)</t>
    <phoneticPr fontId="1" type="noConversion"/>
  </si>
  <si>
    <t>중앙지사</t>
    <phoneticPr fontId="1" type="noConversion"/>
  </si>
  <si>
    <t>평택 고덕국제화계획지구</t>
  </si>
  <si>
    <t>남서울, 상암, 상암2, 덕은</t>
    <phoneticPr fontId="1" type="noConversion"/>
  </si>
  <si>
    <t>화성지사, 동탄지사</t>
    <phoneticPr fontId="1" type="noConversion"/>
  </si>
  <si>
    <t>평택지사</t>
    <phoneticPr fontId="1" type="noConversion"/>
  </si>
  <si>
    <t>화성동탄1,2, 용인서천</t>
    <phoneticPr fontId="1" type="noConversion"/>
  </si>
  <si>
    <t>용인</t>
    <phoneticPr fontId="1" type="noConversion"/>
  </si>
  <si>
    <t>23.12月 기준</t>
    <phoneticPr fontId="1" type="noConversion"/>
  </si>
  <si>
    <t>2024년 한국지역난방공사 공급구역 및 허가세대수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</si>
</sst>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>
      <alignment vertical="center"/>
    </xf>
    <xf numFmtId="41" fontId="7" fillId="3" borderId="0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8" fillId="0" borderId="0" xfId="0" applyNumberFormat="1" applyFont="1" applyBorder="1">
      <alignment vertical="center"/>
    </xf>
    <xf numFmtId="41" fontId="0" fillId="0" borderId="15" xfId="2" applyFont="1" applyBorder="1" applyAlignment="1">
      <alignment horizontal="center" vertical="center"/>
    </xf>
    <xf numFmtId="41" fontId="0" fillId="3" borderId="2" xfId="2" applyFont="1" applyFill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  <xf numFmtId="41" fontId="7" fillId="3" borderId="2" xfId="2" applyFon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0" fillId="3" borderId="3" xfId="2" applyFont="1" applyFill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1694-5DDA-40FA-ADB4-35E23FEDEBA2}">
  <dimension ref="B2:J25"/>
  <sheetViews>
    <sheetView tabSelected="1" view="pageBreakPreview" zoomScale="115" zoomScaleNormal="115" zoomScaleSheetLayoutView="115" workbookViewId="0">
      <selection activeCell="I8" sqref="I8"/>
    </sheetView>
  </sheetViews>
  <sheetFormatPr defaultRowHeight="16.5" x14ac:dyDescent="0.3"/>
  <cols>
    <col min="1" max="1" width="5.625" customWidth="1"/>
    <col min="2" max="2" width="26.625" bestFit="1" customWidth="1"/>
    <col min="3" max="3" width="34.125" customWidth="1"/>
    <col min="4" max="4" width="15.625" bestFit="1" customWidth="1"/>
    <col min="5" max="5" width="5.625" customWidth="1"/>
  </cols>
  <sheetData>
    <row r="2" spans="2:6" ht="20.25" x14ac:dyDescent="0.3">
      <c r="B2" s="28" t="s">
        <v>41</v>
      </c>
      <c r="C2" s="28"/>
      <c r="D2" s="28"/>
      <c r="E2" s="25"/>
      <c r="F2" s="1"/>
    </row>
    <row r="4" spans="2:6" x14ac:dyDescent="0.3">
      <c r="D4" s="12" t="s">
        <v>40</v>
      </c>
      <c r="E4" s="12"/>
    </row>
    <row r="5" spans="2:6" ht="17.25" thickBot="1" x14ac:dyDescent="0.35">
      <c r="D5" s="12"/>
      <c r="E5" s="12"/>
    </row>
    <row r="6" spans="2:6" ht="18" thickBot="1" x14ac:dyDescent="0.35">
      <c r="B6" s="10" t="s">
        <v>14</v>
      </c>
      <c r="C6" s="7" t="s">
        <v>13</v>
      </c>
      <c r="D6" s="8" t="s">
        <v>29</v>
      </c>
      <c r="E6" s="12"/>
    </row>
    <row r="7" spans="2:6" ht="17.25" thickTop="1" x14ac:dyDescent="0.3">
      <c r="B7" s="9" t="s">
        <v>30</v>
      </c>
      <c r="C7" s="6" t="s">
        <v>1</v>
      </c>
      <c r="D7" s="18">
        <f>141357+86176</f>
        <v>227533</v>
      </c>
      <c r="E7" s="13"/>
    </row>
    <row r="8" spans="2:6" x14ac:dyDescent="0.3">
      <c r="B8" s="2" t="s">
        <v>33</v>
      </c>
      <c r="C8" s="3" t="s">
        <v>35</v>
      </c>
      <c r="D8" s="19">
        <f>73207+35444</f>
        <v>108651</v>
      </c>
      <c r="E8" s="14"/>
    </row>
    <row r="9" spans="2:6" x14ac:dyDescent="0.3">
      <c r="B9" s="2" t="s">
        <v>15</v>
      </c>
      <c r="C9" s="3" t="s">
        <v>0</v>
      </c>
      <c r="D9" s="20">
        <v>207925</v>
      </c>
      <c r="E9" s="13"/>
    </row>
    <row r="10" spans="2:6" x14ac:dyDescent="0.3">
      <c r="B10" s="2" t="s">
        <v>16</v>
      </c>
      <c r="C10" s="3" t="s">
        <v>9</v>
      </c>
      <c r="D10" s="20">
        <v>62031</v>
      </c>
      <c r="E10" s="13"/>
    </row>
    <row r="11" spans="2:6" x14ac:dyDescent="0.3">
      <c r="B11" s="2" t="s">
        <v>17</v>
      </c>
      <c r="C11" s="3" t="s">
        <v>39</v>
      </c>
      <c r="D11" s="20">
        <f>198203+3805</f>
        <v>202008</v>
      </c>
      <c r="E11" s="13"/>
    </row>
    <row r="12" spans="2:6" x14ac:dyDescent="0.3">
      <c r="B12" s="2" t="s">
        <v>18</v>
      </c>
      <c r="C12" s="3" t="s">
        <v>2</v>
      </c>
      <c r="D12" s="19">
        <v>21987</v>
      </c>
      <c r="E12" s="13"/>
    </row>
    <row r="13" spans="2:6" x14ac:dyDescent="0.3">
      <c r="B13" s="2" t="s">
        <v>19</v>
      </c>
      <c r="C13" s="3" t="s">
        <v>3</v>
      </c>
      <c r="D13" s="20">
        <v>173467</v>
      </c>
      <c r="E13" s="13"/>
    </row>
    <row r="14" spans="2:6" x14ac:dyDescent="0.3">
      <c r="B14" s="2" t="s">
        <v>20</v>
      </c>
      <c r="C14" s="4" t="s">
        <v>4</v>
      </c>
      <c r="D14" s="21">
        <v>112805</v>
      </c>
      <c r="E14" s="15"/>
    </row>
    <row r="15" spans="2:6" x14ac:dyDescent="0.3">
      <c r="B15" s="2" t="s">
        <v>21</v>
      </c>
      <c r="C15" s="4" t="s">
        <v>10</v>
      </c>
      <c r="D15" s="19">
        <v>17079</v>
      </c>
      <c r="E15" s="16"/>
    </row>
    <row r="16" spans="2:6" x14ac:dyDescent="0.3">
      <c r="B16" s="2" t="s">
        <v>22</v>
      </c>
      <c r="C16" s="4" t="s">
        <v>5</v>
      </c>
      <c r="D16" s="22">
        <v>39443</v>
      </c>
      <c r="E16" s="16"/>
    </row>
    <row r="17" spans="2:5" x14ac:dyDescent="0.3">
      <c r="B17" s="2" t="s">
        <v>23</v>
      </c>
      <c r="C17" s="4" t="s">
        <v>31</v>
      </c>
      <c r="D17" s="22">
        <v>63514</v>
      </c>
      <c r="E17" s="16"/>
    </row>
    <row r="18" spans="2:5" x14ac:dyDescent="0.3">
      <c r="B18" s="2" t="s">
        <v>24</v>
      </c>
      <c r="C18" s="4" t="s">
        <v>32</v>
      </c>
      <c r="D18" s="21">
        <v>94270</v>
      </c>
      <c r="E18" s="15"/>
    </row>
    <row r="19" spans="2:5" x14ac:dyDescent="0.3">
      <c r="B19" s="2" t="s">
        <v>25</v>
      </c>
      <c r="C19" s="4" t="s">
        <v>11</v>
      </c>
      <c r="D19" s="22">
        <v>90357</v>
      </c>
      <c r="E19" s="16"/>
    </row>
    <row r="20" spans="2:5" x14ac:dyDescent="0.3">
      <c r="B20" s="2" t="s">
        <v>26</v>
      </c>
      <c r="C20" s="4" t="s">
        <v>6</v>
      </c>
      <c r="D20" s="22">
        <v>41681</v>
      </c>
      <c r="E20" s="16"/>
    </row>
    <row r="21" spans="2:5" x14ac:dyDescent="0.3">
      <c r="B21" s="2" t="s">
        <v>36</v>
      </c>
      <c r="C21" s="4" t="s">
        <v>38</v>
      </c>
      <c r="D21" s="21">
        <v>187714</v>
      </c>
      <c r="E21" s="15"/>
    </row>
    <row r="22" spans="2:5" x14ac:dyDescent="0.3">
      <c r="B22" s="11" t="s">
        <v>27</v>
      </c>
      <c r="C22" s="5" t="s">
        <v>7</v>
      </c>
      <c r="D22" s="23">
        <v>138054</v>
      </c>
      <c r="E22" s="14"/>
    </row>
    <row r="23" spans="2:5" x14ac:dyDescent="0.3">
      <c r="B23" s="2" t="s">
        <v>28</v>
      </c>
      <c r="C23" s="4" t="s">
        <v>8</v>
      </c>
      <c r="D23" s="22">
        <v>184596</v>
      </c>
      <c r="E23" s="16"/>
    </row>
    <row r="24" spans="2:5" x14ac:dyDescent="0.3">
      <c r="B24" s="2" t="s">
        <v>37</v>
      </c>
      <c r="C24" s="4" t="s">
        <v>34</v>
      </c>
      <c r="D24" s="22">
        <v>53157</v>
      </c>
      <c r="E24" s="16"/>
    </row>
    <row r="25" spans="2:5" ht="17.25" thickBot="1" x14ac:dyDescent="0.35">
      <c r="B25" s="26" t="s">
        <v>12</v>
      </c>
      <c r="C25" s="27"/>
      <c r="D25" s="24">
        <f>SUM(D7:D24)</f>
        <v>2026272</v>
      </c>
      <c r="E25" s="17"/>
    </row>
  </sheetData>
  <mergeCells count="2">
    <mergeCell ref="B2:D2"/>
    <mergeCell ref="B25:C25"/>
  </mergeCells>
  <phoneticPr fontId="1" type="noConversion"/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2023.12</vt:lpstr>
      <vt:lpstr>'2023.12'!Print_Area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ProfileAdm</cp:lastModifiedBy>
  <cp:lastPrinted>2017-01-04T02:07:08Z</cp:lastPrinted>
  <dcterms:created xsi:type="dcterms:W3CDTF">2017-01-03T08:13:56Z</dcterms:created>
  <dcterms:modified xsi:type="dcterms:W3CDTF">2025-09-02T05:08:56Z</dcterms:modified>
</cp:coreProperties>
</file>